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9120" windowHeight="5535" activeTab="1"/>
  </bookViews>
  <sheets>
    <sheet name="Production Readiness Example" sheetId="6" r:id="rId1"/>
    <sheet name="WIPER Decision Limit Calc's" sheetId="5" r:id="rId2"/>
    <sheet name="BvsC" sheetId="2" r:id="rId3"/>
    <sheet name="paired comparisons" sheetId="4" r:id="rId4"/>
    <sheet name="Exercise" sheetId="1" r:id="rId5"/>
  </sheets>
  <calcPr calcId="144525"/>
</workbook>
</file>

<file path=xl/calcChain.xml><?xml version="1.0" encoding="utf-8"?>
<calcChain xmlns="http://schemas.openxmlformats.org/spreadsheetml/2006/main">
  <c r="D11" i="5"/>
  <c r="D22" s="1"/>
  <c r="D12"/>
  <c r="C11"/>
  <c r="C22" s="1"/>
  <c r="C12"/>
  <c r="F12" s="1"/>
  <c r="D18"/>
  <c r="C18"/>
  <c r="C21" s="1"/>
  <c r="E22" i="2"/>
  <c r="E23" s="1"/>
  <c r="E19"/>
  <c r="D21" i="5" l="1"/>
  <c r="E11"/>
  <c r="I12" s="1"/>
</calcChain>
</file>

<file path=xl/sharedStrings.xml><?xml version="1.0" encoding="utf-8"?>
<sst xmlns="http://schemas.openxmlformats.org/spreadsheetml/2006/main" count="102" uniqueCount="62">
  <si>
    <t>D&amp;R 1</t>
  </si>
  <si>
    <t>D&amp;R 2</t>
  </si>
  <si>
    <t>D&amp;R 3</t>
  </si>
  <si>
    <t>BOB</t>
  </si>
  <si>
    <t>WOW</t>
  </si>
  <si>
    <t>Crystal</t>
  </si>
  <si>
    <t>Microprocessor</t>
  </si>
  <si>
    <t>Transistor</t>
  </si>
  <si>
    <t>Capacitor C2</t>
  </si>
  <si>
    <t>Capacitor C1</t>
  </si>
  <si>
    <t>Capping Run</t>
  </si>
  <si>
    <t>Vibration</t>
  </si>
  <si>
    <t>Sample</t>
  </si>
  <si>
    <t>B1</t>
  </si>
  <si>
    <t>B2</t>
  </si>
  <si>
    <t>B3</t>
  </si>
  <si>
    <t>C1</t>
  </si>
  <si>
    <t>C2</t>
  </si>
  <si>
    <t>C3</t>
  </si>
  <si>
    <t>Shaft R/O</t>
  </si>
  <si>
    <t>Vibration-B</t>
  </si>
  <si>
    <t>Vibration-C</t>
  </si>
  <si>
    <t>Median</t>
  </si>
  <si>
    <t>Comm End Balance</t>
  </si>
  <si>
    <t>PIP End Balance</t>
  </si>
  <si>
    <t>Shaft Run-out</t>
  </si>
  <si>
    <t>Diam at Yoke End</t>
  </si>
  <si>
    <t>Diam at Ball Bearing</t>
  </si>
  <si>
    <t>Diam at TP End</t>
  </si>
  <si>
    <t>Comm Diam</t>
  </si>
  <si>
    <t>Balance Cuts Pos.</t>
  </si>
  <si>
    <t>d2*</t>
  </si>
  <si>
    <t>from</t>
  </si>
  <si>
    <t>http://www.micquality.com/reference_tables/d2_tables.htm</t>
  </si>
  <si>
    <t>Lower</t>
  </si>
  <si>
    <t>Upper</t>
  </si>
  <si>
    <t>alpha</t>
  </si>
  <si>
    <t>n1</t>
  </si>
  <si>
    <t>n2</t>
  </si>
  <si>
    <t>t</t>
  </si>
  <si>
    <t>Initial</t>
  </si>
  <si>
    <t>Range</t>
  </si>
  <si>
    <t>Abs D</t>
  </si>
  <si>
    <t>d-bar</t>
  </si>
  <si>
    <t>Red X Signal Noise Ratio</t>
  </si>
  <si>
    <t>Abs D/ d-bar</t>
  </si>
  <si>
    <t>Criterion</t>
  </si>
  <si>
    <t>WIPER MOTOR EXAMPLE</t>
  </si>
  <si>
    <t>Production Readiness Evaluation - Checklist</t>
  </si>
  <si>
    <t>Item #</t>
  </si>
  <si>
    <t>Item</t>
  </si>
  <si>
    <t>Status</t>
  </si>
  <si>
    <t>Is the product FMEA complete? Have all high RPN issues been resolved?</t>
  </si>
  <si>
    <t>Is the Design Scorecard Updated to latest level?</t>
  </si>
  <si>
    <t>Has the design been verified (performance and reliability)?</t>
  </si>
  <si>
    <t>Is packaging, handling, storage, and shipping properly planned?</t>
  </si>
  <si>
    <t>Is plant capacity adequate to meet customer demand?</t>
  </si>
  <si>
    <t>Is supplier capability adequate?</t>
  </si>
  <si>
    <t>Are suppliers' processes and tooling ready?</t>
  </si>
  <si>
    <t>Are tooling and special test equipment available for production?</t>
  </si>
  <si>
    <t>Are training requirements established and documented?</t>
  </si>
  <si>
    <t>Have all work instructions been validated?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</si>
</sst>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"/>
    <numFmt numFmtId="167" formatCode="0.00000"/>
  </numFmts>
  <fonts count="10">
    <font>
      <sz val="10"/>
      <name val="Arial"/>
    </font>
    <font>
      <sz val="8"/>
      <name val="Arial"/>
    </font>
    <font>
      <sz val="18"/>
      <color rgb="FF072A5E"/>
      <name val="Tahoma"/>
      <family val="2"/>
    </font>
    <font>
      <sz val="14"/>
      <color theme="1"/>
      <name val="Arial"/>
      <family val="2"/>
    </font>
    <font>
      <u/>
      <sz val="10"/>
      <color theme="10"/>
      <name val="Arial"/>
    </font>
    <font>
      <b/>
      <sz val="10"/>
      <name val="Arial"/>
      <family val="2"/>
    </font>
    <font>
      <b/>
      <u/>
      <sz val="10"/>
      <color theme="10"/>
      <name val="Arial"/>
      <family val="2"/>
    </font>
    <font>
      <sz val="14"/>
      <name val="Arial"/>
    </font>
    <font>
      <b/>
      <sz val="14"/>
      <name val="Arial"/>
      <family val="2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1" xfId="0" applyFont="1" applyBorder="1" applyAlignment="1">
      <alignment horizontal="center" readingOrder="1"/>
    </xf>
    <xf numFmtId="165" fontId="2" fillId="0" borderId="1" xfId="0" applyNumberFormat="1" applyFont="1" applyBorder="1" applyAlignment="1">
      <alignment horizontal="center" readingOrder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Continuous" vertical="top" wrapText="1"/>
    </xf>
    <xf numFmtId="0" fontId="0" fillId="0" borderId="3" xfId="0" applyBorder="1" applyAlignment="1">
      <alignment horizontal="centerContinuous"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horizontal="centerContinuous" vertical="top" wrapText="1"/>
    </xf>
    <xf numFmtId="0" fontId="0" fillId="0" borderId="5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1" applyFont="1" applyAlignment="1" applyProtection="1"/>
    <xf numFmtId="167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Components Search</a:t>
            </a:r>
          </a:p>
        </c:rich>
      </c:tx>
      <c:layout>
        <c:manualLayout>
          <c:xMode val="edge"/>
          <c:yMode val="edge"/>
          <c:x val="0.36409395973154368"/>
          <c:y val="3.550295857988165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0906040268456375"/>
          <c:y val="0.20118343195266286"/>
          <c:w val="0.73154362416107444"/>
          <c:h val="0.66568047337278224"/>
        </c:manualLayout>
      </c:layout>
      <c:lineChart>
        <c:grouping val="standard"/>
        <c:ser>
          <c:idx val="0"/>
          <c:order val="0"/>
          <c:tx>
            <c:strRef>
              <c:f>Exercise!$B$20</c:f>
              <c:strCache>
                <c:ptCount val="1"/>
                <c:pt idx="0">
                  <c:v>BOB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</c:dLbls>
          <c:cat>
            <c:strRef>
              <c:f>Exercise!$C$19:$E$19</c:f>
              <c:strCache>
                <c:ptCount val="3"/>
                <c:pt idx="0">
                  <c:v>D&amp;R 1</c:v>
                </c:pt>
                <c:pt idx="1">
                  <c:v>D&amp;R 2</c:v>
                </c:pt>
                <c:pt idx="2">
                  <c:v>D&amp;R 3</c:v>
                </c:pt>
              </c:strCache>
            </c:strRef>
          </c:cat>
          <c:val>
            <c:numRef>
              <c:f>Exercise!$C$20:$E$20</c:f>
              <c:numCache>
                <c:formatCode>General</c:formatCode>
                <c:ptCount val="3"/>
                <c:pt idx="0">
                  <c:v>13</c:v>
                </c:pt>
                <c:pt idx="1">
                  <c:v>16</c:v>
                </c:pt>
                <c:pt idx="2">
                  <c:v>15</c:v>
                </c:pt>
              </c:numCache>
            </c:numRef>
          </c:val>
        </c:ser>
        <c:ser>
          <c:idx val="1"/>
          <c:order val="1"/>
          <c:tx>
            <c:strRef>
              <c:f>Exercise!$B$21</c:f>
              <c:strCache>
                <c:ptCount val="1"/>
                <c:pt idx="0">
                  <c:v>WOW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</c:dLbls>
          <c:cat>
            <c:strRef>
              <c:f>Exercise!$C$19:$E$19</c:f>
              <c:strCache>
                <c:ptCount val="3"/>
                <c:pt idx="0">
                  <c:v>D&amp;R 1</c:v>
                </c:pt>
                <c:pt idx="1">
                  <c:v>D&amp;R 2</c:v>
                </c:pt>
                <c:pt idx="2">
                  <c:v>D&amp;R 3</c:v>
                </c:pt>
              </c:strCache>
            </c:strRef>
          </c:cat>
          <c:val>
            <c:numRef>
              <c:f>Exercise!$C$21:$E$21</c:f>
              <c:numCache>
                <c:formatCode>General</c:formatCode>
                <c:ptCount val="3"/>
                <c:pt idx="0">
                  <c:v>34</c:v>
                </c:pt>
                <c:pt idx="1">
                  <c:v>38</c:v>
                </c:pt>
                <c:pt idx="2">
                  <c:v>35</c:v>
                </c:pt>
              </c:numCache>
            </c:numRef>
          </c:val>
        </c:ser>
        <c:dLbls/>
        <c:marker val="1"/>
        <c:axId val="198142976"/>
        <c:axId val="198152960"/>
      </c:lineChart>
      <c:catAx>
        <c:axId val="1981429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152960"/>
        <c:crosses val="autoZero"/>
        <c:auto val="1"/>
        <c:lblAlgn val="ctr"/>
        <c:lblOffset val="100"/>
        <c:tickLblSkip val="1"/>
        <c:tickMarkSkip val="1"/>
      </c:catAx>
      <c:valAx>
        <c:axId val="1981529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Delay (ms)</a:t>
                </a:r>
              </a:p>
            </c:rich>
          </c:tx>
          <c:layout>
            <c:manualLayout>
              <c:xMode val="edge"/>
              <c:yMode val="edge"/>
              <c:x val="2.6845637583892665E-2"/>
              <c:y val="0.4289940828402368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142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906040268456463"/>
          <c:y val="0.47041420118343236"/>
          <c:w val="0.12751677852348992"/>
          <c:h val="0.1272189349112427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Components Search</a:t>
            </a:r>
          </a:p>
        </c:rich>
      </c:tx>
      <c:layout>
        <c:manualLayout>
          <c:xMode val="edge"/>
          <c:yMode val="edge"/>
          <c:x val="0.36409395973154368"/>
          <c:y val="3.550295857988165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0906040268456375"/>
          <c:y val="0.20118343195266286"/>
          <c:w val="0.73154362416107444"/>
          <c:h val="0.49408284023668686"/>
        </c:manualLayout>
      </c:layout>
      <c:lineChart>
        <c:grouping val="standard"/>
        <c:ser>
          <c:idx val="0"/>
          <c:order val="0"/>
          <c:tx>
            <c:strRef>
              <c:f>Exercise!$B$20</c:f>
              <c:strCache>
                <c:ptCount val="1"/>
                <c:pt idx="0">
                  <c:v>BOB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</c:dLbls>
          <c:cat>
            <c:strRef>
              <c:f>Exercise!$C$19:$J$19</c:f>
              <c:strCache>
                <c:ptCount val="8"/>
                <c:pt idx="0">
                  <c:v>D&amp;R 1</c:v>
                </c:pt>
                <c:pt idx="1">
                  <c:v>D&amp;R 2</c:v>
                </c:pt>
                <c:pt idx="2">
                  <c:v>D&amp;R 3</c:v>
                </c:pt>
                <c:pt idx="3">
                  <c:v>Crystal</c:v>
                </c:pt>
                <c:pt idx="4">
                  <c:v>Microprocessor</c:v>
                </c:pt>
                <c:pt idx="5">
                  <c:v>Transistor</c:v>
                </c:pt>
                <c:pt idx="6">
                  <c:v>Capacitor C2</c:v>
                </c:pt>
                <c:pt idx="7">
                  <c:v>Capacitor C1</c:v>
                </c:pt>
              </c:strCache>
            </c:strRef>
          </c:cat>
          <c:val>
            <c:numRef>
              <c:f>Exercise!$C$20:$J$20</c:f>
              <c:numCache>
                <c:formatCode>General</c:formatCode>
                <c:ptCount val="8"/>
                <c:pt idx="0">
                  <c:v>13</c:v>
                </c:pt>
                <c:pt idx="1">
                  <c:v>16</c:v>
                </c:pt>
                <c:pt idx="2">
                  <c:v>15</c:v>
                </c:pt>
                <c:pt idx="3">
                  <c:v>36</c:v>
                </c:pt>
                <c:pt idx="4">
                  <c:v>16</c:v>
                </c:pt>
                <c:pt idx="5">
                  <c:v>14</c:v>
                </c:pt>
                <c:pt idx="6">
                  <c:v>15</c:v>
                </c:pt>
                <c:pt idx="7">
                  <c:v>34</c:v>
                </c:pt>
              </c:numCache>
            </c:numRef>
          </c:val>
        </c:ser>
        <c:ser>
          <c:idx val="1"/>
          <c:order val="1"/>
          <c:tx>
            <c:strRef>
              <c:f>Exercise!$B$21</c:f>
              <c:strCache>
                <c:ptCount val="1"/>
                <c:pt idx="0">
                  <c:v>WOW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</c:dLbls>
          <c:cat>
            <c:strRef>
              <c:f>Exercise!$C$19:$J$19</c:f>
              <c:strCache>
                <c:ptCount val="8"/>
                <c:pt idx="0">
                  <c:v>D&amp;R 1</c:v>
                </c:pt>
                <c:pt idx="1">
                  <c:v>D&amp;R 2</c:v>
                </c:pt>
                <c:pt idx="2">
                  <c:v>D&amp;R 3</c:v>
                </c:pt>
                <c:pt idx="3">
                  <c:v>Crystal</c:v>
                </c:pt>
                <c:pt idx="4">
                  <c:v>Microprocessor</c:v>
                </c:pt>
                <c:pt idx="5">
                  <c:v>Transistor</c:v>
                </c:pt>
                <c:pt idx="6">
                  <c:v>Capacitor C2</c:v>
                </c:pt>
                <c:pt idx="7">
                  <c:v>Capacitor C1</c:v>
                </c:pt>
              </c:strCache>
            </c:strRef>
          </c:cat>
          <c:val>
            <c:numRef>
              <c:f>Exercise!$C$21:$J$21</c:f>
              <c:numCache>
                <c:formatCode>General</c:formatCode>
                <c:ptCount val="8"/>
                <c:pt idx="0">
                  <c:v>34</c:v>
                </c:pt>
                <c:pt idx="1">
                  <c:v>38</c:v>
                </c:pt>
                <c:pt idx="2">
                  <c:v>35</c:v>
                </c:pt>
                <c:pt idx="3">
                  <c:v>19</c:v>
                </c:pt>
                <c:pt idx="4">
                  <c:v>35</c:v>
                </c:pt>
                <c:pt idx="5">
                  <c:v>33</c:v>
                </c:pt>
                <c:pt idx="6">
                  <c:v>37</c:v>
                </c:pt>
                <c:pt idx="7">
                  <c:v>18</c:v>
                </c:pt>
              </c:numCache>
            </c:numRef>
          </c:val>
        </c:ser>
        <c:dLbls>
          <c:showVal val="1"/>
        </c:dLbls>
        <c:marker val="1"/>
        <c:axId val="198072576"/>
        <c:axId val="198098944"/>
      </c:lineChart>
      <c:catAx>
        <c:axId val="1980725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098944"/>
        <c:crosses val="autoZero"/>
        <c:auto val="1"/>
        <c:lblAlgn val="ctr"/>
        <c:lblOffset val="100"/>
        <c:tickLblSkip val="1"/>
        <c:tickMarkSkip val="1"/>
      </c:catAx>
      <c:valAx>
        <c:axId val="1980989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Delay (ms)</a:t>
                </a:r>
              </a:p>
            </c:rich>
          </c:tx>
          <c:layout>
            <c:manualLayout>
              <c:xMode val="edge"/>
              <c:yMode val="edge"/>
              <c:x val="2.6845637583892665E-2"/>
              <c:y val="0.3431952662721893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072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906040268456463"/>
          <c:y val="0.3846153846153848"/>
          <c:w val="0.12751677852348992"/>
          <c:h val="0.1272189349112427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Components Search</a:t>
            </a:r>
          </a:p>
        </c:rich>
      </c:tx>
      <c:layout>
        <c:manualLayout>
          <c:xMode val="edge"/>
          <c:yMode val="edge"/>
          <c:x val="0.36409395973154368"/>
          <c:y val="3.550295857988165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0906040268456375"/>
          <c:y val="0.20118343195266286"/>
          <c:w val="0.73154362416107444"/>
          <c:h val="0.49408284023668686"/>
        </c:manualLayout>
      </c:layout>
      <c:lineChart>
        <c:grouping val="standard"/>
        <c:ser>
          <c:idx val="0"/>
          <c:order val="0"/>
          <c:tx>
            <c:strRef>
              <c:f>Exercise!$B$20</c:f>
              <c:strCache>
                <c:ptCount val="1"/>
                <c:pt idx="0">
                  <c:v>BOB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Exercise!$C$19:$K$19</c:f>
              <c:strCache>
                <c:ptCount val="9"/>
                <c:pt idx="0">
                  <c:v>D&amp;R 1</c:v>
                </c:pt>
                <c:pt idx="1">
                  <c:v>D&amp;R 2</c:v>
                </c:pt>
                <c:pt idx="2">
                  <c:v>D&amp;R 3</c:v>
                </c:pt>
                <c:pt idx="3">
                  <c:v>Crystal</c:v>
                </c:pt>
                <c:pt idx="4">
                  <c:v>Microprocessor</c:v>
                </c:pt>
                <c:pt idx="5">
                  <c:v>Transistor</c:v>
                </c:pt>
                <c:pt idx="6">
                  <c:v>Capacitor C2</c:v>
                </c:pt>
                <c:pt idx="7">
                  <c:v>Capacitor C1</c:v>
                </c:pt>
                <c:pt idx="8">
                  <c:v>Capping Run</c:v>
                </c:pt>
              </c:strCache>
            </c:strRef>
          </c:cat>
          <c:val>
            <c:numRef>
              <c:f>Exercise!$C$20:$K$20</c:f>
              <c:numCache>
                <c:formatCode>General</c:formatCode>
                <c:ptCount val="9"/>
                <c:pt idx="0">
                  <c:v>13</c:v>
                </c:pt>
                <c:pt idx="1">
                  <c:v>16</c:v>
                </c:pt>
                <c:pt idx="2">
                  <c:v>15</c:v>
                </c:pt>
                <c:pt idx="3">
                  <c:v>36</c:v>
                </c:pt>
                <c:pt idx="4">
                  <c:v>16</c:v>
                </c:pt>
                <c:pt idx="5">
                  <c:v>14</c:v>
                </c:pt>
                <c:pt idx="6">
                  <c:v>15</c:v>
                </c:pt>
                <c:pt idx="7">
                  <c:v>34</c:v>
                </c:pt>
                <c:pt idx="8">
                  <c:v>17</c:v>
                </c:pt>
              </c:numCache>
            </c:numRef>
          </c:val>
        </c:ser>
        <c:ser>
          <c:idx val="1"/>
          <c:order val="1"/>
          <c:tx>
            <c:strRef>
              <c:f>Exercise!$B$21</c:f>
              <c:strCache>
                <c:ptCount val="1"/>
                <c:pt idx="0">
                  <c:v>WOW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Exercise!$C$19:$K$19</c:f>
              <c:strCache>
                <c:ptCount val="9"/>
                <c:pt idx="0">
                  <c:v>D&amp;R 1</c:v>
                </c:pt>
                <c:pt idx="1">
                  <c:v>D&amp;R 2</c:v>
                </c:pt>
                <c:pt idx="2">
                  <c:v>D&amp;R 3</c:v>
                </c:pt>
                <c:pt idx="3">
                  <c:v>Crystal</c:v>
                </c:pt>
                <c:pt idx="4">
                  <c:v>Microprocessor</c:v>
                </c:pt>
                <c:pt idx="5">
                  <c:v>Transistor</c:v>
                </c:pt>
                <c:pt idx="6">
                  <c:v>Capacitor C2</c:v>
                </c:pt>
                <c:pt idx="7">
                  <c:v>Capacitor C1</c:v>
                </c:pt>
                <c:pt idx="8">
                  <c:v>Capping Run</c:v>
                </c:pt>
              </c:strCache>
            </c:strRef>
          </c:cat>
          <c:val>
            <c:numRef>
              <c:f>Exercise!$C$21:$K$21</c:f>
              <c:numCache>
                <c:formatCode>General</c:formatCode>
                <c:ptCount val="9"/>
                <c:pt idx="0">
                  <c:v>34</c:v>
                </c:pt>
                <c:pt idx="1">
                  <c:v>38</c:v>
                </c:pt>
                <c:pt idx="2">
                  <c:v>35</c:v>
                </c:pt>
                <c:pt idx="3">
                  <c:v>19</c:v>
                </c:pt>
                <c:pt idx="4">
                  <c:v>35</c:v>
                </c:pt>
                <c:pt idx="5">
                  <c:v>33</c:v>
                </c:pt>
                <c:pt idx="6">
                  <c:v>37</c:v>
                </c:pt>
                <c:pt idx="7">
                  <c:v>18</c:v>
                </c:pt>
                <c:pt idx="8">
                  <c:v>32</c:v>
                </c:pt>
              </c:numCache>
            </c:numRef>
          </c:val>
        </c:ser>
        <c:dLbls/>
        <c:marker val="1"/>
        <c:axId val="198333952"/>
        <c:axId val="198335488"/>
      </c:lineChart>
      <c:catAx>
        <c:axId val="19833395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35488"/>
        <c:crosses val="autoZero"/>
        <c:auto val="1"/>
        <c:lblAlgn val="ctr"/>
        <c:lblOffset val="100"/>
        <c:tickLblSkip val="1"/>
        <c:tickMarkSkip val="1"/>
      </c:catAx>
      <c:valAx>
        <c:axId val="1983354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Delay (ms)</a:t>
                </a:r>
              </a:p>
            </c:rich>
          </c:tx>
          <c:layout>
            <c:manualLayout>
              <c:xMode val="edge"/>
              <c:yMode val="edge"/>
              <c:x val="2.6845637583892665E-2"/>
              <c:y val="0.3431952662721893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33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906040268456463"/>
          <c:y val="0.3846153846153848"/>
          <c:w val="0.12751677852348992"/>
          <c:h val="0.1272189349112427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</xdr:row>
      <xdr:rowOff>142875</xdr:rowOff>
    </xdr:from>
    <xdr:to>
      <xdr:col>2</xdr:col>
      <xdr:colOff>266700</xdr:colOff>
      <xdr:row>7</xdr:row>
      <xdr:rowOff>76200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895350" y="1066800"/>
          <a:ext cx="3905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285750</xdr:colOff>
      <xdr:row>6</xdr:row>
      <xdr:rowOff>19050</xdr:rowOff>
    </xdr:from>
    <xdr:to>
      <xdr:col>6</xdr:col>
      <xdr:colOff>266700</xdr:colOff>
      <xdr:row>7</xdr:row>
      <xdr:rowOff>114300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2533650" y="1104900"/>
          <a:ext cx="3905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323850</xdr:colOff>
      <xdr:row>5</xdr:row>
      <xdr:rowOff>85725</xdr:rowOff>
    </xdr:from>
    <xdr:to>
      <xdr:col>4</xdr:col>
      <xdr:colOff>180975</xdr:colOff>
      <xdr:row>8</xdr:row>
      <xdr:rowOff>19050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752600" y="1009650"/>
          <a:ext cx="26670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333375</xdr:colOff>
      <xdr:row>6</xdr:row>
      <xdr:rowOff>28575</xdr:rowOff>
    </xdr:from>
    <xdr:to>
      <xdr:col>12</xdr:col>
      <xdr:colOff>314325</xdr:colOff>
      <xdr:row>7</xdr:row>
      <xdr:rowOff>123825</xdr:rowOff>
    </xdr:to>
    <xdr:sp macro="" textlink="">
      <xdr:nvSpPr>
        <xdr:cNvPr id="5" name="Line 6"/>
        <xdr:cNvSpPr>
          <a:spLocks noChangeShapeType="1"/>
        </xdr:cNvSpPr>
      </xdr:nvSpPr>
      <xdr:spPr bwMode="auto">
        <a:xfrm flipV="1">
          <a:off x="5038725" y="1114425"/>
          <a:ext cx="3905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342900</xdr:colOff>
      <xdr:row>6</xdr:row>
      <xdr:rowOff>38100</xdr:rowOff>
    </xdr:from>
    <xdr:to>
      <xdr:col>14</xdr:col>
      <xdr:colOff>295275</xdr:colOff>
      <xdr:row>7</xdr:row>
      <xdr:rowOff>133350</xdr:rowOff>
    </xdr:to>
    <xdr:sp macro="" textlink="">
      <xdr:nvSpPr>
        <xdr:cNvPr id="6" name="Line 7"/>
        <xdr:cNvSpPr>
          <a:spLocks noChangeShapeType="1"/>
        </xdr:cNvSpPr>
      </xdr:nvSpPr>
      <xdr:spPr bwMode="auto">
        <a:xfrm flipV="1">
          <a:off x="5867400" y="1123950"/>
          <a:ext cx="36195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15</xdr:col>
      <xdr:colOff>419100</xdr:colOff>
      <xdr:row>6</xdr:row>
      <xdr:rowOff>38100</xdr:rowOff>
    </xdr:from>
    <xdr:to>
      <xdr:col>16</xdr:col>
      <xdr:colOff>352425</xdr:colOff>
      <xdr:row>7</xdr:row>
      <xdr:rowOff>142875</xdr:rowOff>
    </xdr:to>
    <xdr:sp macro="" textlink="">
      <xdr:nvSpPr>
        <xdr:cNvPr id="7" name="Line 8"/>
        <xdr:cNvSpPr>
          <a:spLocks noChangeShapeType="1"/>
        </xdr:cNvSpPr>
      </xdr:nvSpPr>
      <xdr:spPr bwMode="auto">
        <a:xfrm>
          <a:off x="6753225" y="1123950"/>
          <a:ext cx="352425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295275</xdr:colOff>
      <xdr:row>6</xdr:row>
      <xdr:rowOff>28575</xdr:rowOff>
    </xdr:from>
    <xdr:to>
      <xdr:col>8</xdr:col>
      <xdr:colOff>257175</xdr:colOff>
      <xdr:row>7</xdr:row>
      <xdr:rowOff>133350</xdr:rowOff>
    </xdr:to>
    <xdr:sp macro="" textlink="">
      <xdr:nvSpPr>
        <xdr:cNvPr id="8" name="Line 9"/>
        <xdr:cNvSpPr>
          <a:spLocks noChangeShapeType="1"/>
        </xdr:cNvSpPr>
      </xdr:nvSpPr>
      <xdr:spPr bwMode="auto">
        <a:xfrm>
          <a:off x="3362325" y="1114425"/>
          <a:ext cx="371475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333375</xdr:colOff>
      <xdr:row>13</xdr:row>
      <xdr:rowOff>28575</xdr:rowOff>
    </xdr:from>
    <xdr:to>
      <xdr:col>12</xdr:col>
      <xdr:colOff>314325</xdr:colOff>
      <xdr:row>14</xdr:row>
      <xdr:rowOff>123825</xdr:rowOff>
    </xdr:to>
    <xdr:sp macro="" textlink="">
      <xdr:nvSpPr>
        <xdr:cNvPr id="9" name="Line 14"/>
        <xdr:cNvSpPr>
          <a:spLocks noChangeShapeType="1"/>
        </xdr:cNvSpPr>
      </xdr:nvSpPr>
      <xdr:spPr bwMode="auto">
        <a:xfrm flipV="1">
          <a:off x="5038725" y="2181225"/>
          <a:ext cx="3905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15</xdr:col>
      <xdr:colOff>257175</xdr:colOff>
      <xdr:row>13</xdr:row>
      <xdr:rowOff>57150</xdr:rowOff>
    </xdr:from>
    <xdr:to>
      <xdr:col>16</xdr:col>
      <xdr:colOff>209550</xdr:colOff>
      <xdr:row>14</xdr:row>
      <xdr:rowOff>152400</xdr:rowOff>
    </xdr:to>
    <xdr:sp macro="" textlink="">
      <xdr:nvSpPr>
        <xdr:cNvPr id="10" name="Line 15"/>
        <xdr:cNvSpPr>
          <a:spLocks noChangeShapeType="1"/>
        </xdr:cNvSpPr>
      </xdr:nvSpPr>
      <xdr:spPr bwMode="auto">
        <a:xfrm flipV="1">
          <a:off x="6600825" y="2209800"/>
          <a:ext cx="36195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219075</xdr:colOff>
      <xdr:row>13</xdr:row>
      <xdr:rowOff>19050</xdr:rowOff>
    </xdr:from>
    <xdr:to>
      <xdr:col>14</xdr:col>
      <xdr:colOff>161925</xdr:colOff>
      <xdr:row>14</xdr:row>
      <xdr:rowOff>123825</xdr:rowOff>
    </xdr:to>
    <xdr:sp macro="" textlink="">
      <xdr:nvSpPr>
        <xdr:cNvPr id="11" name="Line 16"/>
        <xdr:cNvSpPr>
          <a:spLocks noChangeShapeType="1"/>
        </xdr:cNvSpPr>
      </xdr:nvSpPr>
      <xdr:spPr bwMode="auto">
        <a:xfrm>
          <a:off x="5743575" y="2171700"/>
          <a:ext cx="352425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295275</xdr:colOff>
      <xdr:row>13</xdr:row>
      <xdr:rowOff>28575</xdr:rowOff>
    </xdr:from>
    <xdr:to>
      <xdr:col>8</xdr:col>
      <xdr:colOff>257175</xdr:colOff>
      <xdr:row>14</xdr:row>
      <xdr:rowOff>133350</xdr:rowOff>
    </xdr:to>
    <xdr:sp macro="" textlink="">
      <xdr:nvSpPr>
        <xdr:cNvPr id="12" name="Line 17"/>
        <xdr:cNvSpPr>
          <a:spLocks noChangeShapeType="1"/>
        </xdr:cNvSpPr>
      </xdr:nvSpPr>
      <xdr:spPr bwMode="auto">
        <a:xfrm>
          <a:off x="3362325" y="2181225"/>
          <a:ext cx="371475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295275</xdr:colOff>
      <xdr:row>13</xdr:row>
      <xdr:rowOff>28575</xdr:rowOff>
    </xdr:from>
    <xdr:to>
      <xdr:col>2</xdr:col>
      <xdr:colOff>257175</xdr:colOff>
      <xdr:row>14</xdr:row>
      <xdr:rowOff>133350</xdr:rowOff>
    </xdr:to>
    <xdr:sp macro="" textlink="">
      <xdr:nvSpPr>
        <xdr:cNvPr id="13" name="Line 19"/>
        <xdr:cNvSpPr>
          <a:spLocks noChangeShapeType="1"/>
        </xdr:cNvSpPr>
      </xdr:nvSpPr>
      <xdr:spPr bwMode="auto">
        <a:xfrm>
          <a:off x="904875" y="2181225"/>
          <a:ext cx="371475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219075</xdr:colOff>
      <xdr:row>13</xdr:row>
      <xdr:rowOff>57150</xdr:rowOff>
    </xdr:from>
    <xdr:to>
      <xdr:col>6</xdr:col>
      <xdr:colOff>200025</xdr:colOff>
      <xdr:row>14</xdr:row>
      <xdr:rowOff>152400</xdr:rowOff>
    </xdr:to>
    <xdr:sp macro="" textlink="">
      <xdr:nvSpPr>
        <xdr:cNvPr id="14" name="Line 20"/>
        <xdr:cNvSpPr>
          <a:spLocks noChangeShapeType="1"/>
        </xdr:cNvSpPr>
      </xdr:nvSpPr>
      <xdr:spPr bwMode="auto">
        <a:xfrm flipV="1">
          <a:off x="2466975" y="2209800"/>
          <a:ext cx="3905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180975</xdr:colOff>
      <xdr:row>13</xdr:row>
      <xdr:rowOff>47625</xdr:rowOff>
    </xdr:from>
    <xdr:to>
      <xdr:col>4</xdr:col>
      <xdr:colOff>142875</xdr:colOff>
      <xdr:row>14</xdr:row>
      <xdr:rowOff>152400</xdr:rowOff>
    </xdr:to>
    <xdr:sp macro="" textlink="">
      <xdr:nvSpPr>
        <xdr:cNvPr id="15" name="Line 21"/>
        <xdr:cNvSpPr>
          <a:spLocks noChangeShapeType="1"/>
        </xdr:cNvSpPr>
      </xdr:nvSpPr>
      <xdr:spPr bwMode="auto">
        <a:xfrm>
          <a:off x="1609725" y="2200275"/>
          <a:ext cx="371475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257175</xdr:colOff>
      <xdr:row>13</xdr:row>
      <xdr:rowOff>19050</xdr:rowOff>
    </xdr:from>
    <xdr:to>
      <xdr:col>10</xdr:col>
      <xdr:colOff>238125</xdr:colOff>
      <xdr:row>14</xdr:row>
      <xdr:rowOff>114300</xdr:rowOff>
    </xdr:to>
    <xdr:sp macro="" textlink="">
      <xdr:nvSpPr>
        <xdr:cNvPr id="16" name="Line 23"/>
        <xdr:cNvSpPr>
          <a:spLocks noChangeShapeType="1"/>
        </xdr:cNvSpPr>
      </xdr:nvSpPr>
      <xdr:spPr bwMode="auto">
        <a:xfrm flipV="1">
          <a:off x="4143375" y="2171700"/>
          <a:ext cx="3905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238125</xdr:colOff>
      <xdr:row>6</xdr:row>
      <xdr:rowOff>28575</xdr:rowOff>
    </xdr:from>
    <xdr:to>
      <xdr:col>10</xdr:col>
      <xdr:colOff>200025</xdr:colOff>
      <xdr:row>7</xdr:row>
      <xdr:rowOff>133350</xdr:rowOff>
    </xdr:to>
    <xdr:sp macro="" textlink="">
      <xdr:nvSpPr>
        <xdr:cNvPr id="17" name="Line 25"/>
        <xdr:cNvSpPr>
          <a:spLocks noChangeShapeType="1"/>
        </xdr:cNvSpPr>
      </xdr:nvSpPr>
      <xdr:spPr bwMode="auto">
        <a:xfrm>
          <a:off x="4124325" y="1114425"/>
          <a:ext cx="371475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23</xdr:row>
      <xdr:rowOff>28575</xdr:rowOff>
    </xdr:from>
    <xdr:to>
      <xdr:col>9</xdr:col>
      <xdr:colOff>476250</xdr:colOff>
      <xdr:row>43</xdr:row>
      <xdr:rowOff>9525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22</xdr:row>
      <xdr:rowOff>133350</xdr:rowOff>
    </xdr:from>
    <xdr:to>
      <xdr:col>19</xdr:col>
      <xdr:colOff>200025</xdr:colOff>
      <xdr:row>42</xdr:row>
      <xdr:rowOff>114300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2</xdr:row>
      <xdr:rowOff>133350</xdr:rowOff>
    </xdr:from>
    <xdr:to>
      <xdr:col>21</xdr:col>
      <xdr:colOff>200025</xdr:colOff>
      <xdr:row>22</xdr:row>
      <xdr:rowOff>114300</xdr:rowOff>
    </xdr:to>
    <xdr:graphicFrame macro="">
      <xdr:nvGraphicFramePr>
        <xdr:cNvPr id="10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micquality.com/reference_tables/d2_tables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4"/>
  <sheetViews>
    <sheetView showGridLines="0" workbookViewId="0">
      <selection activeCell="A2" sqref="A2:C14"/>
    </sheetView>
  </sheetViews>
  <sheetFormatPr defaultRowHeight="18"/>
  <cols>
    <col min="1" max="1" width="9.140625" style="26"/>
    <col min="2" max="2" width="93" style="26" bestFit="1" customWidth="1"/>
    <col min="3" max="3" width="14.5703125" style="26" customWidth="1"/>
    <col min="4" max="257" width="9.140625" style="26"/>
    <col min="258" max="258" width="93" style="26" bestFit="1" customWidth="1"/>
    <col min="259" max="259" width="14.5703125" style="26" customWidth="1"/>
    <col min="260" max="513" width="9.140625" style="26"/>
    <col min="514" max="514" width="93" style="26" bestFit="1" customWidth="1"/>
    <col min="515" max="515" width="14.5703125" style="26" customWidth="1"/>
    <col min="516" max="769" width="9.140625" style="26"/>
    <col min="770" max="770" width="93" style="26" bestFit="1" customWidth="1"/>
    <col min="771" max="771" width="14.5703125" style="26" customWidth="1"/>
    <col min="772" max="1025" width="9.140625" style="26"/>
    <col min="1026" max="1026" width="93" style="26" bestFit="1" customWidth="1"/>
    <col min="1027" max="1027" width="14.5703125" style="26" customWidth="1"/>
    <col min="1028" max="1281" width="9.140625" style="26"/>
    <col min="1282" max="1282" width="93" style="26" bestFit="1" customWidth="1"/>
    <col min="1283" max="1283" width="14.5703125" style="26" customWidth="1"/>
    <col min="1284" max="1537" width="9.140625" style="26"/>
    <col min="1538" max="1538" width="93" style="26" bestFit="1" customWidth="1"/>
    <col min="1539" max="1539" width="14.5703125" style="26" customWidth="1"/>
    <col min="1540" max="1793" width="9.140625" style="26"/>
    <col min="1794" max="1794" width="93" style="26" bestFit="1" customWidth="1"/>
    <col min="1795" max="1795" width="14.5703125" style="26" customWidth="1"/>
    <col min="1796" max="2049" width="9.140625" style="26"/>
    <col min="2050" max="2050" width="93" style="26" bestFit="1" customWidth="1"/>
    <col min="2051" max="2051" width="14.5703125" style="26" customWidth="1"/>
    <col min="2052" max="2305" width="9.140625" style="26"/>
    <col min="2306" max="2306" width="93" style="26" bestFit="1" customWidth="1"/>
    <col min="2307" max="2307" width="14.5703125" style="26" customWidth="1"/>
    <col min="2308" max="2561" width="9.140625" style="26"/>
    <col min="2562" max="2562" width="93" style="26" bestFit="1" customWidth="1"/>
    <col min="2563" max="2563" width="14.5703125" style="26" customWidth="1"/>
    <col min="2564" max="2817" width="9.140625" style="26"/>
    <col min="2818" max="2818" width="93" style="26" bestFit="1" customWidth="1"/>
    <col min="2819" max="2819" width="14.5703125" style="26" customWidth="1"/>
    <col min="2820" max="3073" width="9.140625" style="26"/>
    <col min="3074" max="3074" width="93" style="26" bestFit="1" customWidth="1"/>
    <col min="3075" max="3075" width="14.5703125" style="26" customWidth="1"/>
    <col min="3076" max="3329" width="9.140625" style="26"/>
    <col min="3330" max="3330" width="93" style="26" bestFit="1" customWidth="1"/>
    <col min="3331" max="3331" width="14.5703125" style="26" customWidth="1"/>
    <col min="3332" max="3585" width="9.140625" style="26"/>
    <col min="3586" max="3586" width="93" style="26" bestFit="1" customWidth="1"/>
    <col min="3587" max="3587" width="14.5703125" style="26" customWidth="1"/>
    <col min="3588" max="3841" width="9.140625" style="26"/>
    <col min="3842" max="3842" width="93" style="26" bestFit="1" customWidth="1"/>
    <col min="3843" max="3843" width="14.5703125" style="26" customWidth="1"/>
    <col min="3844" max="4097" width="9.140625" style="26"/>
    <col min="4098" max="4098" width="93" style="26" bestFit="1" customWidth="1"/>
    <col min="4099" max="4099" width="14.5703125" style="26" customWidth="1"/>
    <col min="4100" max="4353" width="9.140625" style="26"/>
    <col min="4354" max="4354" width="93" style="26" bestFit="1" customWidth="1"/>
    <col min="4355" max="4355" width="14.5703125" style="26" customWidth="1"/>
    <col min="4356" max="4609" width="9.140625" style="26"/>
    <col min="4610" max="4610" width="93" style="26" bestFit="1" customWidth="1"/>
    <col min="4611" max="4611" width="14.5703125" style="26" customWidth="1"/>
    <col min="4612" max="4865" width="9.140625" style="26"/>
    <col min="4866" max="4866" width="93" style="26" bestFit="1" customWidth="1"/>
    <col min="4867" max="4867" width="14.5703125" style="26" customWidth="1"/>
    <col min="4868" max="5121" width="9.140625" style="26"/>
    <col min="5122" max="5122" width="93" style="26" bestFit="1" customWidth="1"/>
    <col min="5123" max="5123" width="14.5703125" style="26" customWidth="1"/>
    <col min="5124" max="5377" width="9.140625" style="26"/>
    <col min="5378" max="5378" width="93" style="26" bestFit="1" customWidth="1"/>
    <col min="5379" max="5379" width="14.5703125" style="26" customWidth="1"/>
    <col min="5380" max="5633" width="9.140625" style="26"/>
    <col min="5634" max="5634" width="93" style="26" bestFit="1" customWidth="1"/>
    <col min="5635" max="5635" width="14.5703125" style="26" customWidth="1"/>
    <col min="5636" max="5889" width="9.140625" style="26"/>
    <col min="5890" max="5890" width="93" style="26" bestFit="1" customWidth="1"/>
    <col min="5891" max="5891" width="14.5703125" style="26" customWidth="1"/>
    <col min="5892" max="6145" width="9.140625" style="26"/>
    <col min="6146" max="6146" width="93" style="26" bestFit="1" customWidth="1"/>
    <col min="6147" max="6147" width="14.5703125" style="26" customWidth="1"/>
    <col min="6148" max="6401" width="9.140625" style="26"/>
    <col min="6402" max="6402" width="93" style="26" bestFit="1" customWidth="1"/>
    <col min="6403" max="6403" width="14.5703125" style="26" customWidth="1"/>
    <col min="6404" max="6657" width="9.140625" style="26"/>
    <col min="6658" max="6658" width="93" style="26" bestFit="1" customWidth="1"/>
    <col min="6659" max="6659" width="14.5703125" style="26" customWidth="1"/>
    <col min="6660" max="6913" width="9.140625" style="26"/>
    <col min="6914" max="6914" width="93" style="26" bestFit="1" customWidth="1"/>
    <col min="6915" max="6915" width="14.5703125" style="26" customWidth="1"/>
    <col min="6916" max="7169" width="9.140625" style="26"/>
    <col min="7170" max="7170" width="93" style="26" bestFit="1" customWidth="1"/>
    <col min="7171" max="7171" width="14.5703125" style="26" customWidth="1"/>
    <col min="7172" max="7425" width="9.140625" style="26"/>
    <col min="7426" max="7426" width="93" style="26" bestFit="1" customWidth="1"/>
    <col min="7427" max="7427" width="14.5703125" style="26" customWidth="1"/>
    <col min="7428" max="7681" width="9.140625" style="26"/>
    <col min="7682" max="7682" width="93" style="26" bestFit="1" customWidth="1"/>
    <col min="7683" max="7683" width="14.5703125" style="26" customWidth="1"/>
    <col min="7684" max="7937" width="9.140625" style="26"/>
    <col min="7938" max="7938" width="93" style="26" bestFit="1" customWidth="1"/>
    <col min="7939" max="7939" width="14.5703125" style="26" customWidth="1"/>
    <col min="7940" max="8193" width="9.140625" style="26"/>
    <col min="8194" max="8194" width="93" style="26" bestFit="1" customWidth="1"/>
    <col min="8195" max="8195" width="14.5703125" style="26" customWidth="1"/>
    <col min="8196" max="8449" width="9.140625" style="26"/>
    <col min="8450" max="8450" width="93" style="26" bestFit="1" customWidth="1"/>
    <col min="8451" max="8451" width="14.5703125" style="26" customWidth="1"/>
    <col min="8452" max="8705" width="9.140625" style="26"/>
    <col min="8706" max="8706" width="93" style="26" bestFit="1" customWidth="1"/>
    <col min="8707" max="8707" width="14.5703125" style="26" customWidth="1"/>
    <col min="8708" max="8961" width="9.140625" style="26"/>
    <col min="8962" max="8962" width="93" style="26" bestFit="1" customWidth="1"/>
    <col min="8963" max="8963" width="14.5703125" style="26" customWidth="1"/>
    <col min="8964" max="9217" width="9.140625" style="26"/>
    <col min="9218" max="9218" width="93" style="26" bestFit="1" customWidth="1"/>
    <col min="9219" max="9219" width="14.5703125" style="26" customWidth="1"/>
    <col min="9220" max="9473" width="9.140625" style="26"/>
    <col min="9474" max="9474" width="93" style="26" bestFit="1" customWidth="1"/>
    <col min="9475" max="9475" width="14.5703125" style="26" customWidth="1"/>
    <col min="9476" max="9729" width="9.140625" style="26"/>
    <col min="9730" max="9730" width="93" style="26" bestFit="1" customWidth="1"/>
    <col min="9731" max="9731" width="14.5703125" style="26" customWidth="1"/>
    <col min="9732" max="9985" width="9.140625" style="26"/>
    <col min="9986" max="9986" width="93" style="26" bestFit="1" customWidth="1"/>
    <col min="9987" max="9987" width="14.5703125" style="26" customWidth="1"/>
    <col min="9988" max="10241" width="9.140625" style="26"/>
    <col min="10242" max="10242" width="93" style="26" bestFit="1" customWidth="1"/>
    <col min="10243" max="10243" width="14.5703125" style="26" customWidth="1"/>
    <col min="10244" max="10497" width="9.140625" style="26"/>
    <col min="10498" max="10498" width="93" style="26" bestFit="1" customWidth="1"/>
    <col min="10499" max="10499" width="14.5703125" style="26" customWidth="1"/>
    <col min="10500" max="10753" width="9.140625" style="26"/>
    <col min="10754" max="10754" width="93" style="26" bestFit="1" customWidth="1"/>
    <col min="10755" max="10755" width="14.5703125" style="26" customWidth="1"/>
    <col min="10756" max="11009" width="9.140625" style="26"/>
    <col min="11010" max="11010" width="93" style="26" bestFit="1" customWidth="1"/>
    <col min="11011" max="11011" width="14.5703125" style="26" customWidth="1"/>
    <col min="11012" max="11265" width="9.140625" style="26"/>
    <col min="11266" max="11266" width="93" style="26" bestFit="1" customWidth="1"/>
    <col min="11267" max="11267" width="14.5703125" style="26" customWidth="1"/>
    <col min="11268" max="11521" width="9.140625" style="26"/>
    <col min="11522" max="11522" width="93" style="26" bestFit="1" customWidth="1"/>
    <col min="11523" max="11523" width="14.5703125" style="26" customWidth="1"/>
    <col min="11524" max="11777" width="9.140625" style="26"/>
    <col min="11778" max="11778" width="93" style="26" bestFit="1" customWidth="1"/>
    <col min="11779" max="11779" width="14.5703125" style="26" customWidth="1"/>
    <col min="11780" max="12033" width="9.140625" style="26"/>
    <col min="12034" max="12034" width="93" style="26" bestFit="1" customWidth="1"/>
    <col min="12035" max="12035" width="14.5703125" style="26" customWidth="1"/>
    <col min="12036" max="12289" width="9.140625" style="26"/>
    <col min="12290" max="12290" width="93" style="26" bestFit="1" customWidth="1"/>
    <col min="12291" max="12291" width="14.5703125" style="26" customWidth="1"/>
    <col min="12292" max="12545" width="9.140625" style="26"/>
    <col min="12546" max="12546" width="93" style="26" bestFit="1" customWidth="1"/>
    <col min="12547" max="12547" width="14.5703125" style="26" customWidth="1"/>
    <col min="12548" max="12801" width="9.140625" style="26"/>
    <col min="12802" max="12802" width="93" style="26" bestFit="1" customWidth="1"/>
    <col min="12803" max="12803" width="14.5703125" style="26" customWidth="1"/>
    <col min="12804" max="13057" width="9.140625" style="26"/>
    <col min="13058" max="13058" width="93" style="26" bestFit="1" customWidth="1"/>
    <col min="13059" max="13059" width="14.5703125" style="26" customWidth="1"/>
    <col min="13060" max="13313" width="9.140625" style="26"/>
    <col min="13314" max="13314" width="93" style="26" bestFit="1" customWidth="1"/>
    <col min="13315" max="13315" width="14.5703125" style="26" customWidth="1"/>
    <col min="13316" max="13569" width="9.140625" style="26"/>
    <col min="13570" max="13570" width="93" style="26" bestFit="1" customWidth="1"/>
    <col min="13571" max="13571" width="14.5703125" style="26" customWidth="1"/>
    <col min="13572" max="13825" width="9.140625" style="26"/>
    <col min="13826" max="13826" width="93" style="26" bestFit="1" customWidth="1"/>
    <col min="13827" max="13827" width="14.5703125" style="26" customWidth="1"/>
    <col min="13828" max="14081" width="9.140625" style="26"/>
    <col min="14082" max="14082" width="93" style="26" bestFit="1" customWidth="1"/>
    <col min="14083" max="14083" width="14.5703125" style="26" customWidth="1"/>
    <col min="14084" max="14337" width="9.140625" style="26"/>
    <col min="14338" max="14338" width="93" style="26" bestFit="1" customWidth="1"/>
    <col min="14339" max="14339" width="14.5703125" style="26" customWidth="1"/>
    <col min="14340" max="14593" width="9.140625" style="26"/>
    <col min="14594" max="14594" width="93" style="26" bestFit="1" customWidth="1"/>
    <col min="14595" max="14595" width="14.5703125" style="26" customWidth="1"/>
    <col min="14596" max="14849" width="9.140625" style="26"/>
    <col min="14850" max="14850" width="93" style="26" bestFit="1" customWidth="1"/>
    <col min="14851" max="14851" width="14.5703125" style="26" customWidth="1"/>
    <col min="14852" max="15105" width="9.140625" style="26"/>
    <col min="15106" max="15106" width="93" style="26" bestFit="1" customWidth="1"/>
    <col min="15107" max="15107" width="14.5703125" style="26" customWidth="1"/>
    <col min="15108" max="15361" width="9.140625" style="26"/>
    <col min="15362" max="15362" width="93" style="26" bestFit="1" customWidth="1"/>
    <col min="15363" max="15363" width="14.5703125" style="26" customWidth="1"/>
    <col min="15364" max="15617" width="9.140625" style="26"/>
    <col min="15618" max="15618" width="93" style="26" bestFit="1" customWidth="1"/>
    <col min="15619" max="15619" width="14.5703125" style="26" customWidth="1"/>
    <col min="15620" max="15873" width="9.140625" style="26"/>
    <col min="15874" max="15874" width="93" style="26" bestFit="1" customWidth="1"/>
    <col min="15875" max="15875" width="14.5703125" style="26" customWidth="1"/>
    <col min="15876" max="16129" width="9.140625" style="26"/>
    <col min="16130" max="16130" width="93" style="26" bestFit="1" customWidth="1"/>
    <col min="16131" max="16131" width="14.5703125" style="26" customWidth="1"/>
    <col min="16132" max="16384" width="9.140625" style="26"/>
  </cols>
  <sheetData>
    <row r="2" spans="1:3">
      <c r="A2" s="26" t="s">
        <v>48</v>
      </c>
    </row>
    <row r="4" spans="1:3">
      <c r="A4" s="27" t="s">
        <v>49</v>
      </c>
      <c r="B4" s="27" t="s">
        <v>50</v>
      </c>
      <c r="C4" s="27" t="s">
        <v>51</v>
      </c>
    </row>
    <row r="5" spans="1:3">
      <c r="A5" s="28">
        <v>1</v>
      </c>
      <c r="B5" s="29" t="s">
        <v>52</v>
      </c>
      <c r="C5" s="29"/>
    </row>
    <row r="6" spans="1:3">
      <c r="A6" s="28">
        <v>2</v>
      </c>
      <c r="B6" s="29" t="s">
        <v>53</v>
      </c>
      <c r="C6" s="29"/>
    </row>
    <row r="7" spans="1:3">
      <c r="A7" s="28">
        <v>3</v>
      </c>
      <c r="B7" s="29" t="s">
        <v>54</v>
      </c>
      <c r="C7" s="29"/>
    </row>
    <row r="8" spans="1:3">
      <c r="A8" s="28">
        <v>4</v>
      </c>
      <c r="B8" s="29" t="s">
        <v>55</v>
      </c>
      <c r="C8" s="29"/>
    </row>
    <row r="9" spans="1:3">
      <c r="A9" s="28">
        <v>5</v>
      </c>
      <c r="B9" s="29" t="s">
        <v>56</v>
      </c>
      <c r="C9" s="29"/>
    </row>
    <row r="10" spans="1:3">
      <c r="A10" s="28">
        <v>6</v>
      </c>
      <c r="B10" s="29" t="s">
        <v>57</v>
      </c>
      <c r="C10" s="29"/>
    </row>
    <row r="11" spans="1:3">
      <c r="A11" s="28">
        <v>7</v>
      </c>
      <c r="B11" s="29" t="s">
        <v>58</v>
      </c>
      <c r="C11" s="29"/>
    </row>
    <row r="12" spans="1:3">
      <c r="A12" s="28">
        <v>8</v>
      </c>
      <c r="B12" s="29" t="s">
        <v>59</v>
      </c>
      <c r="C12" s="29"/>
    </row>
    <row r="13" spans="1:3">
      <c r="A13" s="28">
        <v>9</v>
      </c>
      <c r="B13" s="29" t="s">
        <v>60</v>
      </c>
      <c r="C13" s="29"/>
    </row>
    <row r="14" spans="1:3">
      <c r="A14" s="28">
        <v>10</v>
      </c>
      <c r="B14" s="29" t="s">
        <v>61</v>
      </c>
      <c r="C14" s="29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1:I22"/>
  <sheetViews>
    <sheetView tabSelected="1" workbookViewId="0">
      <selection activeCell="C3" sqref="C3"/>
    </sheetView>
  </sheetViews>
  <sheetFormatPr defaultRowHeight="12.75"/>
  <cols>
    <col min="1" max="7" width="9.140625" style="20"/>
    <col min="8" max="8" width="12.7109375" style="20" customWidth="1"/>
    <col min="9" max="16384" width="9.140625" style="20"/>
  </cols>
  <sheetData>
    <row r="1" spans="2:9">
      <c r="B1" s="20" t="s">
        <v>47</v>
      </c>
    </row>
    <row r="2" spans="2:9">
      <c r="C2" s="20" t="s">
        <v>11</v>
      </c>
      <c r="D2" s="20" t="s">
        <v>11</v>
      </c>
    </row>
    <row r="3" spans="2:9">
      <c r="B3" s="20" t="s">
        <v>40</v>
      </c>
      <c r="C3" s="19">
        <v>0.53</v>
      </c>
      <c r="D3" s="19">
        <v>0.02</v>
      </c>
    </row>
    <row r="4" spans="2:9">
      <c r="B4" s="20" t="s">
        <v>0</v>
      </c>
      <c r="C4" s="19">
        <v>0.6</v>
      </c>
      <c r="D4" s="19">
        <v>0.05</v>
      </c>
    </row>
    <row r="5" spans="2:9">
      <c r="B5" s="20" t="s">
        <v>1</v>
      </c>
      <c r="C5" s="19">
        <v>0.42</v>
      </c>
      <c r="D5" s="19">
        <v>0.06</v>
      </c>
    </row>
    <row r="8" spans="2:9">
      <c r="B8" s="19" t="s">
        <v>31</v>
      </c>
      <c r="C8" s="19">
        <v>1.8049999999999999</v>
      </c>
      <c r="E8" s="20" t="s">
        <v>32</v>
      </c>
      <c r="F8" s="21" t="s">
        <v>33</v>
      </c>
    </row>
    <row r="10" spans="2:9">
      <c r="C10" s="19" t="s">
        <v>3</v>
      </c>
      <c r="D10" s="19" t="s">
        <v>4</v>
      </c>
      <c r="E10" s="19" t="s">
        <v>42</v>
      </c>
      <c r="F10" s="19" t="s">
        <v>43</v>
      </c>
      <c r="H10" s="20" t="s">
        <v>44</v>
      </c>
    </row>
    <row r="11" spans="2:9">
      <c r="B11" s="20" t="s">
        <v>22</v>
      </c>
      <c r="C11" s="19">
        <f>MEDIAN(C3:C5)</f>
        <v>0.53</v>
      </c>
      <c r="D11" s="19">
        <f>MEDIAN(D3:D5)</f>
        <v>0.05</v>
      </c>
      <c r="E11" s="19">
        <f>ABS(C11-D11)</f>
        <v>0.48000000000000004</v>
      </c>
      <c r="F11" s="19"/>
    </row>
    <row r="12" spans="2:9">
      <c r="B12" s="20" t="s">
        <v>41</v>
      </c>
      <c r="C12" s="19">
        <f>MAX(C3:C5)-MIN(C3:C5)</f>
        <v>0.18</v>
      </c>
      <c r="D12" s="19">
        <f>MAX(D3:D5)-MIN(D3:D5)</f>
        <v>3.9999999999999994E-2</v>
      </c>
      <c r="E12" s="19"/>
      <c r="F12" s="24">
        <f>AVERAGE(C12:D12)</f>
        <v>0.10999999999999999</v>
      </c>
      <c r="H12" s="20" t="s">
        <v>45</v>
      </c>
      <c r="I12" s="23">
        <f>E11/F12</f>
        <v>4.3636363636363642</v>
      </c>
    </row>
    <row r="13" spans="2:9">
      <c r="C13" s="19"/>
      <c r="D13" s="19"/>
      <c r="H13" s="20" t="s">
        <v>46</v>
      </c>
      <c r="I13" s="19">
        <v>1.25</v>
      </c>
    </row>
    <row r="14" spans="2:9">
      <c r="C14" s="19"/>
      <c r="D14" s="19"/>
    </row>
    <row r="15" spans="2:9">
      <c r="B15" s="20" t="s">
        <v>36</v>
      </c>
      <c r="C15" s="19">
        <v>0.05</v>
      </c>
      <c r="D15" s="19">
        <v>0.05</v>
      </c>
    </row>
    <row r="16" spans="2:9">
      <c r="B16" s="20" t="s">
        <v>37</v>
      </c>
      <c r="C16" s="19">
        <v>3</v>
      </c>
      <c r="D16" s="19">
        <v>3</v>
      </c>
    </row>
    <row r="17" spans="2:4">
      <c r="B17" s="20" t="s">
        <v>38</v>
      </c>
      <c r="C17" s="19">
        <v>3</v>
      </c>
      <c r="D17" s="19">
        <v>3</v>
      </c>
    </row>
    <row r="18" spans="2:4">
      <c r="B18" s="20" t="s">
        <v>39</v>
      </c>
      <c r="C18" s="22">
        <f>TINV(C15,C16+C17-2)</f>
        <v>2.7764451051977934</v>
      </c>
      <c r="D18" s="22">
        <f>TINV(D15,D16+D17-2)</f>
        <v>2.7764451051977934</v>
      </c>
    </row>
    <row r="19" spans="2:4">
      <c r="C19" s="19"/>
      <c r="D19" s="19"/>
    </row>
    <row r="20" spans="2:4">
      <c r="C20" s="19" t="s">
        <v>3</v>
      </c>
      <c r="D20" s="19" t="s">
        <v>4</v>
      </c>
    </row>
    <row r="21" spans="2:4">
      <c r="B21" s="20" t="s">
        <v>34</v>
      </c>
      <c r="C21" s="25">
        <f>MAX(0,C11-(C18*F12/$C$8))</f>
        <v>0.36079835924002368</v>
      </c>
      <c r="D21" s="25">
        <f>MAX(0,D11-(D18*F12/$C$8))</f>
        <v>0</v>
      </c>
    </row>
    <row r="22" spans="2:4">
      <c r="B22" s="20" t="s">
        <v>35</v>
      </c>
      <c r="C22" s="25">
        <f>C11+(C18*$F$12/$C$8)</f>
        <v>0.69920164075997637</v>
      </c>
      <c r="D22" s="25">
        <f>D11+(D18*$F$12/$C$8)</f>
        <v>0.21920164075997634</v>
      </c>
    </row>
  </sheetData>
  <hyperlinks>
    <hyperlink ref="F8" r:id="rId1"/>
  </hyperlinks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F23"/>
  <sheetViews>
    <sheetView showGridLines="0" workbookViewId="0">
      <selection activeCell="E23" sqref="E23"/>
    </sheetView>
  </sheetViews>
  <sheetFormatPr defaultRowHeight="12.75"/>
  <cols>
    <col min="1" max="1" width="14.7109375" bestFit="1" customWidth="1"/>
    <col min="2" max="2" width="19.42578125" bestFit="1" customWidth="1"/>
    <col min="3" max="3" width="17.5703125" bestFit="1" customWidth="1"/>
    <col min="5" max="5" width="14.7109375" bestFit="1" customWidth="1"/>
    <col min="6" max="6" width="14.85546875" bestFit="1" customWidth="1"/>
  </cols>
  <sheetData>
    <row r="3" spans="1:6" ht="22.5">
      <c r="A3" s="1" t="s">
        <v>12</v>
      </c>
      <c r="B3" s="1" t="s">
        <v>19</v>
      </c>
      <c r="C3" s="1" t="s">
        <v>11</v>
      </c>
    </row>
    <row r="4" spans="1:6" ht="22.5">
      <c r="A4" s="1" t="s">
        <v>13</v>
      </c>
      <c r="B4" s="2">
        <v>0.01</v>
      </c>
      <c r="C4" s="2">
        <v>5.0000000000000001E-3</v>
      </c>
    </row>
    <row r="5" spans="1:6" ht="22.5">
      <c r="A5" s="1" t="s">
        <v>14</v>
      </c>
      <c r="B5" s="2">
        <v>1.4999999999999999E-2</v>
      </c>
      <c r="C5" s="2">
        <v>3.7999999999999999E-2</v>
      </c>
    </row>
    <row r="6" spans="1:6" ht="22.5">
      <c r="A6" s="1" t="s">
        <v>15</v>
      </c>
      <c r="B6" s="2">
        <v>0.01</v>
      </c>
      <c r="C6" s="2">
        <v>0.06</v>
      </c>
    </row>
    <row r="7" spans="1:6" ht="22.5">
      <c r="A7" s="1" t="s">
        <v>16</v>
      </c>
      <c r="B7" s="2">
        <v>4.4999999999999998E-2</v>
      </c>
      <c r="C7" s="2">
        <v>0.20399999999999999</v>
      </c>
    </row>
    <row r="8" spans="1:6" ht="22.5">
      <c r="A8" s="1" t="s">
        <v>17</v>
      </c>
      <c r="B8" s="2">
        <v>0.05</v>
      </c>
      <c r="C8" s="2">
        <v>0.33</v>
      </c>
    </row>
    <row r="9" spans="1:6" ht="22.5">
      <c r="A9" s="1" t="s">
        <v>18</v>
      </c>
      <c r="B9" s="2">
        <v>5.5E-2</v>
      </c>
      <c r="C9" s="2">
        <v>0.64900000000000002</v>
      </c>
    </row>
    <row r="12" spans="1:6" ht="18">
      <c r="E12" s="3" t="s">
        <v>20</v>
      </c>
      <c r="F12" s="3" t="s">
        <v>21</v>
      </c>
    </row>
    <row r="13" spans="1:6" ht="18">
      <c r="E13" s="4">
        <v>5.0000000000000001E-3</v>
      </c>
      <c r="F13" s="4">
        <v>0.20399999999999999</v>
      </c>
    </row>
    <row r="14" spans="1:6" ht="18">
      <c r="E14" s="4">
        <v>3.7999999999999999E-2</v>
      </c>
      <c r="F14" s="4">
        <v>0.33</v>
      </c>
    </row>
    <row r="15" spans="1:6" ht="18">
      <c r="E15" s="4">
        <v>0.06</v>
      </c>
      <c r="F15" s="4">
        <v>0.64900000000000002</v>
      </c>
    </row>
    <row r="19" spans="5:5">
      <c r="E19">
        <f>TINV(0.05,4)</f>
        <v>2.7764451051977934</v>
      </c>
    </row>
    <row r="21" spans="5:5">
      <c r="E21">
        <v>0.5</v>
      </c>
    </row>
    <row r="22" spans="5:5">
      <c r="E22">
        <f>E21^5</f>
        <v>3.125E-2</v>
      </c>
    </row>
    <row r="23" spans="5:5">
      <c r="E23">
        <f>1-E22</f>
        <v>0.96875</v>
      </c>
    </row>
  </sheetData>
  <sortState ref="E4:G9">
    <sortCondition ref="E4:E9"/>
  </sortState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1:Q16"/>
  <sheetViews>
    <sheetView showGridLines="0" workbookViewId="0">
      <selection activeCell="J28" sqref="J28"/>
    </sheetView>
  </sheetViews>
  <sheetFormatPr defaultRowHeight="12.75"/>
  <cols>
    <col min="2" max="17" width="6.140625" customWidth="1"/>
    <col min="258" max="273" width="6.140625" customWidth="1"/>
    <col min="514" max="529" width="6.140625" customWidth="1"/>
    <col min="770" max="785" width="6.140625" customWidth="1"/>
    <col min="1026" max="1041" width="6.140625" customWidth="1"/>
    <col min="1282" max="1297" width="6.140625" customWidth="1"/>
    <col min="1538" max="1553" width="6.140625" customWidth="1"/>
    <col min="1794" max="1809" width="6.140625" customWidth="1"/>
    <col min="2050" max="2065" width="6.140625" customWidth="1"/>
    <col min="2306" max="2321" width="6.140625" customWidth="1"/>
    <col min="2562" max="2577" width="6.140625" customWidth="1"/>
    <col min="2818" max="2833" width="6.140625" customWidth="1"/>
    <col min="3074" max="3089" width="6.140625" customWidth="1"/>
    <col min="3330" max="3345" width="6.140625" customWidth="1"/>
    <col min="3586" max="3601" width="6.140625" customWidth="1"/>
    <col min="3842" max="3857" width="6.140625" customWidth="1"/>
    <col min="4098" max="4113" width="6.140625" customWidth="1"/>
    <col min="4354" max="4369" width="6.140625" customWidth="1"/>
    <col min="4610" max="4625" width="6.140625" customWidth="1"/>
    <col min="4866" max="4881" width="6.140625" customWidth="1"/>
    <col min="5122" max="5137" width="6.140625" customWidth="1"/>
    <col min="5378" max="5393" width="6.140625" customWidth="1"/>
    <col min="5634" max="5649" width="6.140625" customWidth="1"/>
    <col min="5890" max="5905" width="6.140625" customWidth="1"/>
    <col min="6146" max="6161" width="6.140625" customWidth="1"/>
    <col min="6402" max="6417" width="6.140625" customWidth="1"/>
    <col min="6658" max="6673" width="6.140625" customWidth="1"/>
    <col min="6914" max="6929" width="6.140625" customWidth="1"/>
    <col min="7170" max="7185" width="6.140625" customWidth="1"/>
    <col min="7426" max="7441" width="6.140625" customWidth="1"/>
    <col min="7682" max="7697" width="6.140625" customWidth="1"/>
    <col min="7938" max="7953" width="6.140625" customWidth="1"/>
    <col min="8194" max="8209" width="6.140625" customWidth="1"/>
    <col min="8450" max="8465" width="6.140625" customWidth="1"/>
    <col min="8706" max="8721" width="6.140625" customWidth="1"/>
    <col min="8962" max="8977" width="6.140625" customWidth="1"/>
    <col min="9218" max="9233" width="6.140625" customWidth="1"/>
    <col min="9474" max="9489" width="6.140625" customWidth="1"/>
    <col min="9730" max="9745" width="6.140625" customWidth="1"/>
    <col min="9986" max="10001" width="6.140625" customWidth="1"/>
    <col min="10242" max="10257" width="6.140625" customWidth="1"/>
    <col min="10498" max="10513" width="6.140625" customWidth="1"/>
    <col min="10754" max="10769" width="6.140625" customWidth="1"/>
    <col min="11010" max="11025" width="6.140625" customWidth="1"/>
    <col min="11266" max="11281" width="6.140625" customWidth="1"/>
    <col min="11522" max="11537" width="6.140625" customWidth="1"/>
    <col min="11778" max="11793" width="6.140625" customWidth="1"/>
    <col min="12034" max="12049" width="6.140625" customWidth="1"/>
    <col min="12290" max="12305" width="6.140625" customWidth="1"/>
    <col min="12546" max="12561" width="6.140625" customWidth="1"/>
    <col min="12802" max="12817" width="6.140625" customWidth="1"/>
    <col min="13058" max="13073" width="6.140625" customWidth="1"/>
    <col min="13314" max="13329" width="6.140625" customWidth="1"/>
    <col min="13570" max="13585" width="6.140625" customWidth="1"/>
    <col min="13826" max="13841" width="6.140625" customWidth="1"/>
    <col min="14082" max="14097" width="6.140625" customWidth="1"/>
    <col min="14338" max="14353" width="6.140625" customWidth="1"/>
    <col min="14594" max="14609" width="6.140625" customWidth="1"/>
    <col min="14850" max="14865" width="6.140625" customWidth="1"/>
    <col min="15106" max="15121" width="6.140625" customWidth="1"/>
    <col min="15362" max="15377" width="6.140625" customWidth="1"/>
    <col min="15618" max="15633" width="6.140625" customWidth="1"/>
    <col min="15874" max="15889" width="6.140625" customWidth="1"/>
    <col min="16130" max="16145" width="6.140625" customWidth="1"/>
  </cols>
  <sheetData>
    <row r="1" spans="2:17" ht="13.5" thickBot="1"/>
    <row r="2" spans="2:17" s="7" customFormat="1" ht="26.25" thickBot="1">
      <c r="B2" s="5" t="s">
        <v>23</v>
      </c>
      <c r="C2" s="6"/>
      <c r="D2" s="5" t="s">
        <v>24</v>
      </c>
      <c r="E2" s="6"/>
      <c r="F2" s="5" t="s">
        <v>25</v>
      </c>
      <c r="G2" s="6"/>
      <c r="H2" s="5" t="s">
        <v>26</v>
      </c>
      <c r="I2" s="6"/>
      <c r="J2" s="5" t="s">
        <v>27</v>
      </c>
      <c r="K2" s="6"/>
      <c r="L2" s="5" t="s">
        <v>28</v>
      </c>
      <c r="M2" s="6"/>
      <c r="N2" s="5" t="s">
        <v>29</v>
      </c>
      <c r="O2" s="6"/>
      <c r="P2" s="5" t="s">
        <v>30</v>
      </c>
      <c r="Q2" s="6"/>
    </row>
    <row r="3" spans="2:17" s="7" customFormat="1" ht="6" customHeight="1" thickBo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ht="13.5" thickBot="1">
      <c r="B4" s="9" t="s">
        <v>3</v>
      </c>
      <c r="C4" s="9" t="s">
        <v>4</v>
      </c>
      <c r="D4" s="9" t="s">
        <v>3</v>
      </c>
      <c r="E4" s="9" t="s">
        <v>4</v>
      </c>
      <c r="F4" s="9" t="s">
        <v>3</v>
      </c>
      <c r="G4" s="9" t="s">
        <v>4</v>
      </c>
      <c r="H4" s="9" t="s">
        <v>3</v>
      </c>
      <c r="I4" s="9" t="s">
        <v>4</v>
      </c>
      <c r="J4" s="9" t="s">
        <v>3</v>
      </c>
      <c r="K4" s="9" t="s">
        <v>4</v>
      </c>
      <c r="L4" s="9" t="s">
        <v>3</v>
      </c>
      <c r="M4" s="9" t="s">
        <v>4</v>
      </c>
      <c r="N4" s="9" t="s">
        <v>3</v>
      </c>
      <c r="O4" s="9" t="s">
        <v>4</v>
      </c>
      <c r="P4" s="9" t="s">
        <v>3</v>
      </c>
      <c r="Q4" s="9" t="s">
        <v>4</v>
      </c>
    </row>
    <row r="5" spans="2:17" s="12" customFormat="1" ht="13.5" thickBot="1">
      <c r="B5" s="10">
        <v>5.0000000000000001E-3</v>
      </c>
      <c r="C5" s="10">
        <v>0.04</v>
      </c>
      <c r="D5" s="10">
        <v>0.05</v>
      </c>
      <c r="E5" s="10">
        <v>6.8000000000000005E-2</v>
      </c>
      <c r="F5" s="10">
        <v>0.01</v>
      </c>
      <c r="G5" s="10">
        <v>4.4999999999999998E-2</v>
      </c>
      <c r="H5" s="11">
        <v>25.23</v>
      </c>
      <c r="I5" s="11">
        <v>25.03</v>
      </c>
      <c r="J5" s="11">
        <v>25.21</v>
      </c>
      <c r="K5" s="11">
        <v>25.01</v>
      </c>
      <c r="L5" s="11">
        <v>24.99</v>
      </c>
      <c r="M5" s="11">
        <v>25.21</v>
      </c>
      <c r="N5" s="11">
        <v>13.11</v>
      </c>
      <c r="O5" s="11">
        <v>13.14</v>
      </c>
      <c r="P5" s="11">
        <v>4.54</v>
      </c>
      <c r="Q5" s="11">
        <v>4.41</v>
      </c>
    </row>
    <row r="6" spans="2:17">
      <c r="B6" s="13"/>
      <c r="C6" s="14"/>
      <c r="D6" s="13"/>
      <c r="E6" s="14"/>
      <c r="F6" s="13"/>
      <c r="G6" s="14"/>
      <c r="H6" s="13"/>
      <c r="I6" s="14"/>
      <c r="J6" s="13"/>
      <c r="K6" s="14"/>
      <c r="L6" s="13"/>
      <c r="M6" s="14"/>
      <c r="N6" s="13"/>
      <c r="O6" s="14"/>
      <c r="P6" s="13"/>
      <c r="Q6" s="14"/>
    </row>
    <row r="7" spans="2:17"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</row>
    <row r="8" spans="2:17"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</row>
    <row r="9" spans="2:17" ht="13.5" thickBot="1">
      <c r="B9" s="17"/>
      <c r="C9" s="18"/>
      <c r="D9" s="17"/>
      <c r="E9" s="18"/>
      <c r="F9" s="17"/>
      <c r="G9" s="18"/>
      <c r="H9" s="17"/>
      <c r="I9" s="18"/>
      <c r="J9" s="17"/>
      <c r="K9" s="18"/>
      <c r="L9" s="17"/>
      <c r="M9" s="18"/>
      <c r="N9" s="17"/>
      <c r="O9" s="18"/>
      <c r="P9" s="17"/>
      <c r="Q9" s="18"/>
    </row>
    <row r="10" spans="2:17" ht="5.25" customHeight="1" thickBot="1"/>
    <row r="11" spans="2:17" ht="13.5" thickBot="1">
      <c r="B11" s="9" t="s">
        <v>3</v>
      </c>
      <c r="C11" s="9" t="s">
        <v>4</v>
      </c>
      <c r="D11" s="9" t="s">
        <v>3</v>
      </c>
      <c r="E11" s="9" t="s">
        <v>4</v>
      </c>
      <c r="F11" s="9" t="s">
        <v>3</v>
      </c>
      <c r="G11" s="9" t="s">
        <v>4</v>
      </c>
      <c r="H11" s="9" t="s">
        <v>3</v>
      </c>
      <c r="I11" s="9" t="s">
        <v>4</v>
      </c>
      <c r="J11" s="9" t="s">
        <v>3</v>
      </c>
      <c r="K11" s="9" t="s">
        <v>4</v>
      </c>
      <c r="L11" s="9" t="s">
        <v>3</v>
      </c>
      <c r="M11" s="9" t="s">
        <v>4</v>
      </c>
      <c r="N11" s="9" t="s">
        <v>3</v>
      </c>
      <c r="O11" s="9" t="s">
        <v>4</v>
      </c>
      <c r="P11" s="9" t="s">
        <v>3</v>
      </c>
      <c r="Q11" s="9" t="s">
        <v>4</v>
      </c>
    </row>
    <row r="12" spans="2:17" s="12" customFormat="1" ht="13.5" thickBot="1">
      <c r="B12" s="10">
        <v>3.9E-2</v>
      </c>
      <c r="C12" s="10">
        <v>8.0000000000000002E-3</v>
      </c>
      <c r="D12" s="10">
        <v>5.8999999999999997E-2</v>
      </c>
      <c r="E12" s="10">
        <v>5.2999999999999999E-2</v>
      </c>
      <c r="F12" s="10">
        <v>5.0000000000000001E-3</v>
      </c>
      <c r="G12" s="10">
        <v>0.02</v>
      </c>
      <c r="H12" s="11">
        <v>25.21</v>
      </c>
      <c r="I12" s="11">
        <v>25.08</v>
      </c>
      <c r="J12" s="11">
        <v>25.05</v>
      </c>
      <c r="K12" s="11">
        <v>25.25</v>
      </c>
      <c r="L12" s="11">
        <v>25.01</v>
      </c>
      <c r="M12" s="11">
        <v>25.19</v>
      </c>
      <c r="N12" s="11">
        <v>13.15</v>
      </c>
      <c r="O12" s="11">
        <v>13.09</v>
      </c>
      <c r="P12" s="11">
        <v>4.3899999999999997</v>
      </c>
      <c r="Q12" s="11">
        <v>4.5199999999999996</v>
      </c>
    </row>
    <row r="13" spans="2:17">
      <c r="B13" s="13"/>
      <c r="C13" s="14"/>
      <c r="D13" s="13"/>
      <c r="E13" s="14"/>
      <c r="F13" s="13"/>
      <c r="G13" s="14"/>
      <c r="H13" s="13"/>
      <c r="I13" s="14"/>
      <c r="J13" s="13"/>
      <c r="K13" s="14"/>
      <c r="L13" s="13"/>
      <c r="M13" s="14"/>
      <c r="N13" s="13"/>
      <c r="O13" s="14"/>
      <c r="P13" s="13"/>
      <c r="Q13" s="14"/>
    </row>
    <row r="14" spans="2:17"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</row>
    <row r="15" spans="2:17">
      <c r="B15" s="15"/>
      <c r="C15" s="16"/>
      <c r="D15" s="15"/>
      <c r="E15" s="16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</row>
    <row r="16" spans="2:17" ht="13.5" thickBot="1">
      <c r="B16" s="17"/>
      <c r="C16" s="18"/>
      <c r="D16" s="17"/>
      <c r="E16" s="18"/>
      <c r="F16" s="17"/>
      <c r="G16" s="18"/>
      <c r="H16" s="17"/>
      <c r="I16" s="18"/>
      <c r="J16" s="17"/>
      <c r="K16" s="18"/>
      <c r="L16" s="17"/>
      <c r="M16" s="18"/>
      <c r="N16" s="17"/>
      <c r="O16" s="18"/>
      <c r="P16" s="17"/>
      <c r="Q16" s="18"/>
    </row>
  </sheetData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9:K21"/>
  <sheetViews>
    <sheetView workbookViewId="0">
      <selection activeCell="K21" sqref="K21"/>
    </sheetView>
  </sheetViews>
  <sheetFormatPr defaultRowHeight="12.75"/>
  <cols>
    <col min="3" max="5" width="6.42578125" bestFit="1" customWidth="1"/>
    <col min="6" max="6" width="6.85546875" bestFit="1" customWidth="1"/>
    <col min="7" max="7" width="13.85546875" bestFit="1" customWidth="1"/>
    <col min="9" max="10" width="11.7109375" bestFit="1" customWidth="1"/>
    <col min="11" max="11" width="11.5703125" bestFit="1" customWidth="1"/>
  </cols>
  <sheetData>
    <row r="19" spans="2:11">
      <c r="C19" t="s">
        <v>0</v>
      </c>
      <c r="D19" t="s">
        <v>1</v>
      </c>
      <c r="E19" t="s">
        <v>2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</row>
    <row r="20" spans="2:11">
      <c r="B20" t="s">
        <v>3</v>
      </c>
      <c r="C20">
        <v>13</v>
      </c>
      <c r="D20">
        <v>16</v>
      </c>
      <c r="E20">
        <v>15</v>
      </c>
      <c r="F20">
        <v>36</v>
      </c>
      <c r="G20">
        <v>16</v>
      </c>
      <c r="H20">
        <v>14</v>
      </c>
      <c r="I20">
        <v>15</v>
      </c>
      <c r="J20">
        <v>34</v>
      </c>
      <c r="K20">
        <v>17</v>
      </c>
    </row>
    <row r="21" spans="2:11">
      <c r="B21" t="s">
        <v>4</v>
      </c>
      <c r="C21">
        <v>34</v>
      </c>
      <c r="D21">
        <v>38</v>
      </c>
      <c r="E21">
        <v>35</v>
      </c>
      <c r="F21">
        <v>19</v>
      </c>
      <c r="G21">
        <v>35</v>
      </c>
      <c r="H21">
        <v>33</v>
      </c>
      <c r="I21">
        <v>37</v>
      </c>
      <c r="J21">
        <v>18</v>
      </c>
      <c r="K21">
        <v>32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 Readiness Example</vt:lpstr>
      <vt:lpstr>WIPER Decision Limit Calc's</vt:lpstr>
      <vt:lpstr>BvsC</vt:lpstr>
      <vt:lpstr>paired comparisons</vt:lpstr>
      <vt:lpstr>Exercise</vt:lpstr>
    </vt:vector>
  </TitlesOfParts>
  <Company>SKF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uded1l</dc:creator>
  <cp:lastModifiedBy>phammett</cp:lastModifiedBy>
  <dcterms:created xsi:type="dcterms:W3CDTF">2011-06-08T14:17:21Z</dcterms:created>
  <dcterms:modified xsi:type="dcterms:W3CDTF">2013-03-26T16:47:19Z</dcterms:modified>
</cp:coreProperties>
</file>